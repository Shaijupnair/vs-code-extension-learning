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25" customWidth="1" min="6" max="6"/>
    <col width="18" customWidth="1" min="7" max="7"/>
    <col width="14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Lead_Time_Days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Complexity_Points</t>
        </is>
      </c>
      <c r="H1" s="1" t="inlineStr">
        <is>
          <t>Active_Hours</t>
        </is>
      </c>
      <c r="I1" s="1" t="inlineStr">
        <is>
          <t>Is_Rework</t>
        </is>
      </c>
      <c r="J1" s="1" t="inlineStr">
        <is>
          <t>Parent_ID</t>
        </is>
      </c>
      <c r="K1" s="1" t="inlineStr">
        <is>
          <t>Quality_Status</t>
        </is>
      </c>
    </row>
    <row r="2">
      <c r="A2" t="inlineStr">
        <is>
          <t>TASK-001</t>
        </is>
      </c>
      <c r="B2" s="2" t="n">
        <v>46042</v>
      </c>
      <c r="C2" s="2" t="n">
        <v>46044</v>
      </c>
      <c r="D2">
        <f>C2-B2</f>
        <v/>
      </c>
      <c r="E2" t="inlineStr">
        <is>
          <t>Coding</t>
        </is>
      </c>
      <c r="F2" t="inlineStr">
        <is>
          <t>RAG Vectorization</t>
        </is>
      </c>
      <c r="G2" t="n">
        <v>5</v>
      </c>
      <c r="H2" t="n">
        <v>4</v>
      </c>
      <c r="I2" t="inlineStr">
        <is>
          <t>No</t>
        </is>
      </c>
      <c r="J2" t="inlineStr"/>
      <c r="K2">
        <f>IF(COUNTIF(J:J, A2)&gt;0, "⚠ Defective", "OK")</f>
        <v/>
      </c>
    </row>
    <row r="3">
      <c r="A3" t="inlineStr">
        <is>
          <t>TASK-002</t>
        </is>
      </c>
      <c r="B3" s="2" t="n">
        <v>46047</v>
      </c>
      <c r="C3" s="2" t="n">
        <v>46051</v>
      </c>
      <c r="D3">
        <f>C3-B3</f>
        <v/>
      </c>
      <c r="E3" t="inlineStr">
        <is>
          <t>Research</t>
        </is>
      </c>
      <c r="F3" t="inlineStr">
        <is>
          <t>DAP Lifecycle</t>
        </is>
      </c>
      <c r="G3" t="n">
        <v>3</v>
      </c>
      <c r="H3" t="n">
        <v>2.5</v>
      </c>
      <c r="I3" t="inlineStr">
        <is>
          <t>No</t>
        </is>
      </c>
      <c r="J3" t="inlineStr"/>
      <c r="K3">
        <f>IF(COUNTIF(J:J, A3)&gt;0, "⚠ Defective", "OK")</f>
        <v/>
      </c>
    </row>
    <row r="4">
      <c r="A4" t="inlineStr">
        <is>
          <t>TASK-003</t>
        </is>
      </c>
      <c r="B4" s="2" t="n">
        <v>46058</v>
      </c>
      <c r="C4" s="2" t="n">
        <v>46058</v>
      </c>
      <c r="D4">
        <f>C4-B4</f>
        <v/>
      </c>
      <c r="E4" t="inlineStr">
        <is>
          <t>Rework</t>
        </is>
      </c>
      <c r="F4" t="inlineStr">
        <is>
          <t>Fix memory bug</t>
        </is>
      </c>
      <c r="G4" t="n">
        <v>0</v>
      </c>
      <c r="H4" t="n">
        <v>2</v>
      </c>
      <c r="I4" t="inlineStr">
        <is>
          <t>Yes</t>
        </is>
      </c>
      <c r="J4" t="inlineStr">
        <is>
          <t>TASK-001</t>
        </is>
      </c>
      <c r="K4">
        <f>IF(COUNTIF(J:J, A4)&gt;0, "⚠ Defective", "OK")</f>
        <v/>
      </c>
    </row>
    <row r="7">
      <c r="A7" s="3" t="inlineStr">
        <is>
          <t>Throughput Efficiency:</t>
        </is>
      </c>
      <c r="B7">
        <f>SUM(G:G)/SUM(H:H)</f>
        <v/>
      </c>
    </row>
    <row r="8">
      <c r="A8" s="4" t="inlineStr">
        <is>
          <t>(Points delivered per Active Hour)</t>
        </is>
      </c>
    </row>
    <row r="10">
      <c r="A10" s="3" t="inlineStr">
        <is>
          <t>Real Quality %:</t>
        </is>
      </c>
      <c r="B10" s="5">
        <f>1 - (SUMIF(I:I, "Yes", H:H) / SUM(H:H))</f>
        <v/>
      </c>
    </row>
    <row r="11">
      <c r="A11" s="4" t="inlineStr">
        <is>
          <t>(Percentage of time NOT spent on rework)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2026-02-02T16:38:05Z</dcterms:created>
  <dcterms:modified xsi:type="dcterms:W3CDTF">2026-02-02T16:38:05Z</dcterms:modified>
</cp:coreProperties>
</file>